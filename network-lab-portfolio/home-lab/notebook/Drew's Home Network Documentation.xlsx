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ices" sheetId="1" r:id="rId5"/>
    <sheet state="visible" name="IP Addressing" sheetId="2" r:id="rId6"/>
    <sheet state="visible" name="Switchport Map" sheetId="3" r:id="rId7"/>
    <sheet state="visible" name="VLANs" sheetId="4" r:id="rId8"/>
    <sheet state="visible" name="WLAN" sheetId="5" r:id="rId9"/>
    <sheet state="visible" name="Firewall Policy" sheetId="6" r:id="rId10"/>
  </sheets>
  <definedNames>
    <definedName hidden="1" localSheetId="0" name="_xlnm._FilterDatabase">Devices!$A$1:$Z$6</definedName>
    <definedName hidden="1" localSheetId="1" name="_xlnm._FilterDatabase">'IP Addressing'!$A$1:$Y$8</definedName>
    <definedName hidden="1" localSheetId="2" name="_xlnm._FilterDatabase">'Switchport Map'!$A$1:$Z$9</definedName>
    <definedName hidden="1" localSheetId="3" name="_xlnm._FilterDatabase">VLANs!$A$1:$Z$5</definedName>
    <definedName hidden="1" localSheetId="4" name="_xlnm._FilterDatabase">WLAN!$A$1:$Y$3</definedName>
    <definedName hidden="1" localSheetId="5" name="_xlnm._FilterDatabase">'Firewall Policy'!$A$1:$AA$10</definedName>
  </definedNames>
  <calcPr/>
</workbook>
</file>

<file path=xl/sharedStrings.xml><?xml version="1.0" encoding="utf-8"?>
<sst xmlns="http://schemas.openxmlformats.org/spreadsheetml/2006/main" count="338" uniqueCount="163">
  <si>
    <t>Hostname</t>
  </si>
  <si>
    <t>Host Name</t>
  </si>
  <si>
    <t xml:space="preserve"> Port</t>
  </si>
  <si>
    <t>ID</t>
  </si>
  <si>
    <t>Interface</t>
  </si>
  <si>
    <t>Name</t>
  </si>
  <si>
    <t>IP</t>
  </si>
  <si>
    <t>Role</t>
  </si>
  <si>
    <t>Prefix</t>
  </si>
  <si>
    <t>Subnet</t>
  </si>
  <si>
    <t>Make/Model</t>
  </si>
  <si>
    <t>VLAN</t>
  </si>
  <si>
    <t>MAC</t>
  </si>
  <si>
    <t>Gateway</t>
  </si>
  <si>
    <t>DNS</t>
  </si>
  <si>
    <t>Serial</t>
  </si>
  <si>
    <t>DHCP range</t>
  </si>
  <si>
    <t>Purpose</t>
  </si>
  <si>
    <t>Location</t>
  </si>
  <si>
    <t>Static range</t>
  </si>
  <si>
    <t>Mgmt IP</t>
  </si>
  <si>
    <t>Firmware</t>
  </si>
  <si>
    <t>Notes</t>
  </si>
  <si>
    <t>Description</t>
  </si>
  <si>
    <t>Mode</t>
  </si>
  <si>
    <t>Access VLAN</t>
  </si>
  <si>
    <t>Allowed VLANs</t>
  </si>
  <si>
    <t>Native</t>
  </si>
  <si>
    <t>PortFast</t>
  </si>
  <si>
    <t>BPDUGuard</t>
  </si>
  <si>
    <t>Speed/Duplex</t>
  </si>
  <si>
    <t>Connected Device</t>
  </si>
  <si>
    <t>Far-end port</t>
  </si>
  <si>
    <t xml:space="preserve"> Status</t>
  </si>
  <si>
    <t>AT&amp;T Router</t>
  </si>
  <si>
    <t>OPNsense</t>
  </si>
  <si>
    <t>HOME</t>
  </si>
  <si>
    <t>em0(wan)</t>
  </si>
  <si>
    <t>Connection to ISP + gateway(IP Passthrough)</t>
  </si>
  <si>
    <t>192.168.10.0</t>
  </si>
  <si>
    <t>DHCP</t>
  </si>
  <si>
    <t>BGW320-505</t>
  </si>
  <si>
    <t>/24</t>
  </si>
  <si>
    <t>ac:8f:a9:d6:f6:c1</t>
  </si>
  <si>
    <t>192.168.10.1</t>
  </si>
  <si>
    <t>N93VB2LA003015</t>
  </si>
  <si>
    <t>192.168.10.50-254</t>
  </si>
  <si>
    <t>Living-Room</t>
  </si>
  <si>
    <t>192.168.1.254</t>
  </si>
  <si>
    <t>192.168.10.1-49</t>
  </si>
  <si>
    <t>02001E0046004F</t>
  </si>
  <si>
    <t>Personal Devices</t>
  </si>
  <si>
    <t>/22</t>
  </si>
  <si>
    <t>Gi0/1</t>
  </si>
  <si>
    <t>OPNsense::Trunk::igb0</t>
  </si>
  <si>
    <t>N/A</t>
  </si>
  <si>
    <t>GUEST</t>
  </si>
  <si>
    <t>192.168.30.0</t>
  </si>
  <si>
    <t>192.168.30.1</t>
  </si>
  <si>
    <t>Trunk</t>
  </si>
  <si>
    <t>InterVLAN Routing/Firewall</t>
  </si>
  <si>
    <t>192.168.30.20-254</t>
  </si>
  <si>
    <t>Lenovo ThinkCentre M720q</t>
  </si>
  <si>
    <t>192.168.30.1-19</t>
  </si>
  <si>
    <t>Guest/IoT Devices</t>
  </si>
  <si>
    <t>10,30,99</t>
  </si>
  <si>
    <t>192.168.99.1</t>
  </si>
  <si>
    <t>OPNsense 26.7.1-amd64</t>
  </si>
  <si>
    <t>igb0(lan)</t>
  </si>
  <si>
    <t>No</t>
  </si>
  <si>
    <t>Full-Duplex, 1000Mb/s</t>
  </si>
  <si>
    <t>MGMT</t>
  </si>
  <si>
    <t>igb0</t>
  </si>
  <si>
    <t>RoaS connection to 409-Switch</t>
  </si>
  <si>
    <t>192.168.99.0</t>
  </si>
  <si>
    <t>409-Switch</t>
  </si>
  <si>
    <t>192.168.99.1-254</t>
  </si>
  <si>
    <t>Up</t>
  </si>
  <si>
    <t>Local Switching</t>
  </si>
  <si>
    <t>Device MGMT Access</t>
  </si>
  <si>
    <t>Cisco WS-C2960CX</t>
  </si>
  <si>
    <t>D4:77:98:27:47:00</t>
  </si>
  <si>
    <t>FOC25243E6U</t>
  </si>
  <si>
    <t>192.168.99.2</t>
  </si>
  <si>
    <t>Version 15.2(6r)E</t>
  </si>
  <si>
    <t>igb0(vlan0.10 HOME)</t>
  </si>
  <si>
    <t>NATIVE</t>
  </si>
  <si>
    <t>10(HOME)</t>
  </si>
  <si>
    <t>Gi0/2</t>
  </si>
  <si>
    <t>OMADA::Trunk::ETH(PoE)</t>
  </si>
  <si>
    <t>Dead native VLAN</t>
  </si>
  <si>
    <t>HOME VLAN Connection to 409-Switch</t>
  </si>
  <si>
    <t>OMADA WAP</t>
  </si>
  <si>
    <t>ETH(PoE)</t>
  </si>
  <si>
    <t>igb0(vlan0.30 GUEST)</t>
  </si>
  <si>
    <t>Wireless Access Point (VLAN to SSID)</t>
  </si>
  <si>
    <t>EAP610(US) v4.0</t>
  </si>
  <si>
    <t>30(GUEST)</t>
  </si>
  <si>
    <t>CC-BA-BD-6E-74-CE</t>
  </si>
  <si>
    <t>GUEST VLAN Connection to 409-Switch</t>
  </si>
  <si>
    <t>192.168.99.3</t>
  </si>
  <si>
    <t>Gi0/3</t>
  </si>
  <si>
    <t>1.6.0 Build 202550507 Rel.66340</t>
  </si>
  <si>
    <t>Shutdown</t>
  </si>
  <si>
    <t>Yes</t>
  </si>
  <si>
    <t>igb0(vlan0.99 MGMT)</t>
  </si>
  <si>
    <t>Down</t>
  </si>
  <si>
    <t>99(MGMT)</t>
  </si>
  <si>
    <t>MGMT VLAN Connection to 409-Switch</t>
  </si>
  <si>
    <t>Gi0/4</t>
  </si>
  <si>
    <t>VLAN99</t>
  </si>
  <si>
    <t>Remote Connection to 409-Switch</t>
  </si>
  <si>
    <t>Gi0/5</t>
  </si>
  <si>
    <t>Remote Connection to OMADA WAP</t>
  </si>
  <si>
    <t>Gi0/6</t>
  </si>
  <si>
    <t>Gi0/7</t>
  </si>
  <si>
    <t>OWEN-PC::Access::ETH</t>
  </si>
  <si>
    <t>Acces</t>
  </si>
  <si>
    <t>Owen-PC</t>
  </si>
  <si>
    <t>ETH</t>
  </si>
  <si>
    <t>Gi0/8</t>
  </si>
  <si>
    <t>DREW-PC::Access::ETH</t>
  </si>
  <si>
    <t>Drew-PC</t>
  </si>
  <si>
    <t>SSID</t>
  </si>
  <si>
    <t>Bands</t>
  </si>
  <si>
    <t>Security</t>
  </si>
  <si>
    <t>Client Isolation</t>
  </si>
  <si>
    <t>AP(s)</t>
  </si>
  <si>
    <t>HOME(10)</t>
  </si>
  <si>
    <t>2.4 + 5</t>
  </si>
  <si>
    <t>WPA3-Personal</t>
  </si>
  <si>
    <t>GUEST(30)</t>
  </si>
  <si>
    <t>Action</t>
  </si>
  <si>
    <t>Seq</t>
  </si>
  <si>
    <t>Proto</t>
  </si>
  <si>
    <t>Source</t>
  </si>
  <si>
    <t>Src Port</t>
  </si>
  <si>
    <t>Destination</t>
  </si>
  <si>
    <t>Dest Port</t>
  </si>
  <si>
    <t>igb0(vlan0.10[HOME])</t>
  </si>
  <si>
    <t>PASS</t>
  </si>
  <si>
    <t>any</t>
  </si>
  <si>
    <t>HOME Network</t>
  </si>
  <si>
    <t>Home may initiate anywhere</t>
  </si>
  <si>
    <t>igb0(vlan0.30[GUEST])</t>
  </si>
  <si>
    <t>TCP/UDP</t>
  </si>
  <si>
    <t>GuestIoT Network</t>
  </si>
  <si>
    <t>GuestIoT Address</t>
  </si>
  <si>
    <t>DNS to unbound only</t>
  </si>
  <si>
    <t>ICMP</t>
  </si>
  <si>
    <t>Ping gateway(for troubleshooting)</t>
  </si>
  <si>
    <t>BLOCK</t>
  </si>
  <si>
    <t>LAN_NETWORKS</t>
  </si>
  <si>
    <t>No lateral movement</t>
  </si>
  <si>
    <t>Internet only</t>
  </si>
  <si>
    <t>igb0(vlan0.99[MGMT])</t>
  </si>
  <si>
    <t>MGMT Network</t>
  </si>
  <si>
    <t>MGMT Address</t>
  </si>
  <si>
    <t>DNS to unbound</t>
  </si>
  <si>
    <t>TCP</t>
  </si>
  <si>
    <t>AP ---&gt; OMADA Controller</t>
  </si>
  <si>
    <t>No initiation into HOME/GUEST</t>
  </si>
  <si>
    <t>Internet for updates/NTP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</si>
</sst>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36.0"/>
    <col customWidth="1" min="3" max="3" width="22.0"/>
    <col customWidth="1" min="4" max="4" width="19.0"/>
    <col customWidth="1" min="5" max="5" width="16.88"/>
    <col customWidth="1" min="6" max="6" width="16.13"/>
    <col customWidth="1" min="7" max="7" width="15.5"/>
    <col customWidth="1" min="8" max="8" width="27.13"/>
  </cols>
  <sheetData>
    <row r="1">
      <c r="A1" s="1" t="s">
        <v>1</v>
      </c>
      <c r="B1" s="1" t="s">
        <v>7</v>
      </c>
      <c r="C1" s="1" t="s">
        <v>10</v>
      </c>
      <c r="D1" s="1" t="s">
        <v>12</v>
      </c>
      <c r="E1" s="1" t="s">
        <v>15</v>
      </c>
      <c r="F1" s="1" t="s">
        <v>18</v>
      </c>
      <c r="G1" s="1" t="s">
        <v>20</v>
      </c>
      <c r="H1" s="1" t="s">
        <v>21</v>
      </c>
      <c r="I1" s="1" t="s">
        <v>22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34</v>
      </c>
      <c r="B2" s="3" t="s">
        <v>38</v>
      </c>
      <c r="C2" s="3" t="s">
        <v>41</v>
      </c>
      <c r="D2" s="3" t="s">
        <v>43</v>
      </c>
      <c r="E2" s="3" t="s">
        <v>45</v>
      </c>
      <c r="F2" s="3" t="s">
        <v>47</v>
      </c>
      <c r="G2" s="3" t="s">
        <v>48</v>
      </c>
      <c r="H2" s="3" t="s">
        <v>50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35</v>
      </c>
      <c r="B3" s="3" t="s">
        <v>60</v>
      </c>
      <c r="C3" s="3" t="s">
        <v>62</v>
      </c>
      <c r="D3" s="3"/>
      <c r="E3" s="3"/>
      <c r="F3" s="3" t="s">
        <v>47</v>
      </c>
      <c r="G3" s="3" t="s">
        <v>66</v>
      </c>
      <c r="H3" s="3" t="s">
        <v>67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75</v>
      </c>
      <c r="B4" s="3" t="s">
        <v>78</v>
      </c>
      <c r="C4" s="3" t="s">
        <v>80</v>
      </c>
      <c r="D4" s="3" t="s">
        <v>81</v>
      </c>
      <c r="E4" s="3" t="s">
        <v>82</v>
      </c>
      <c r="F4" s="3" t="s">
        <v>47</v>
      </c>
      <c r="G4" s="3" t="s">
        <v>83</v>
      </c>
      <c r="H4" s="3" t="s">
        <v>84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92</v>
      </c>
      <c r="B5" s="3" t="s">
        <v>95</v>
      </c>
      <c r="C5" s="3" t="s">
        <v>96</v>
      </c>
      <c r="D5" s="3" t="s">
        <v>98</v>
      </c>
      <c r="E5" s="4"/>
      <c r="F5" s="3" t="s">
        <v>47</v>
      </c>
      <c r="G5" s="3" t="s">
        <v>100</v>
      </c>
      <c r="H5" s="3" t="s">
        <v>102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</sheetData>
  <autoFilter ref="$A$1:$Z$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8.13"/>
    <col customWidth="1" min="3" max="3" width="13.25"/>
    <col customWidth="1" min="6" max="6" width="15.63"/>
    <col customWidth="1" min="8" max="8" width="36.5"/>
  </cols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 t="s">
        <v>11</v>
      </c>
      <c r="F1" s="1" t="s">
        <v>13</v>
      </c>
      <c r="G1" s="1" t="s">
        <v>14</v>
      </c>
      <c r="H1" s="1" t="s">
        <v>17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35</v>
      </c>
      <c r="B2" s="3" t="s">
        <v>37</v>
      </c>
      <c r="C2" s="3" t="s">
        <v>40</v>
      </c>
      <c r="D2" s="3" t="s">
        <v>52</v>
      </c>
      <c r="E2" s="3" t="s">
        <v>55</v>
      </c>
      <c r="F2" s="3" t="s">
        <v>40</v>
      </c>
      <c r="G2" s="3" t="s">
        <v>40</v>
      </c>
      <c r="H2" s="3" t="s">
        <v>38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3" t="s">
        <v>35</v>
      </c>
      <c r="B3" s="3" t="s">
        <v>68</v>
      </c>
      <c r="C3" s="3" t="s">
        <v>55</v>
      </c>
      <c r="D3" s="3" t="s">
        <v>55</v>
      </c>
      <c r="E3" s="3" t="s">
        <v>55</v>
      </c>
      <c r="F3" s="3" t="s">
        <v>55</v>
      </c>
      <c r="G3" s="3" t="s">
        <v>55</v>
      </c>
      <c r="H3" s="3" t="s">
        <v>73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3" t="s">
        <v>35</v>
      </c>
      <c r="B4" s="3" t="s">
        <v>85</v>
      </c>
      <c r="C4" s="3" t="s">
        <v>44</v>
      </c>
      <c r="D4" s="3" t="s">
        <v>42</v>
      </c>
      <c r="E4" s="3" t="s">
        <v>87</v>
      </c>
      <c r="F4" s="3" t="s">
        <v>55</v>
      </c>
      <c r="G4" s="3" t="s">
        <v>44</v>
      </c>
      <c r="H4" s="3" t="s">
        <v>91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3" t="s">
        <v>35</v>
      </c>
      <c r="B5" s="3" t="s">
        <v>94</v>
      </c>
      <c r="C5" s="3" t="s">
        <v>58</v>
      </c>
      <c r="D5" s="3" t="s">
        <v>42</v>
      </c>
      <c r="E5" s="3" t="s">
        <v>97</v>
      </c>
      <c r="F5" s="3" t="s">
        <v>55</v>
      </c>
      <c r="G5" s="3" t="s">
        <v>58</v>
      </c>
      <c r="H5" s="3" t="s">
        <v>99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3" t="s">
        <v>35</v>
      </c>
      <c r="B6" s="3" t="s">
        <v>105</v>
      </c>
      <c r="C6" s="3" t="s">
        <v>66</v>
      </c>
      <c r="D6" s="3" t="s">
        <v>42</v>
      </c>
      <c r="E6" s="3" t="s">
        <v>107</v>
      </c>
      <c r="F6" s="3" t="s">
        <v>55</v>
      </c>
      <c r="G6" s="3" t="s">
        <v>66</v>
      </c>
      <c r="H6" s="3" t="s">
        <v>108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3" t="s">
        <v>75</v>
      </c>
      <c r="B7" s="3" t="s">
        <v>110</v>
      </c>
      <c r="C7" s="3" t="s">
        <v>83</v>
      </c>
      <c r="D7" s="3" t="s">
        <v>42</v>
      </c>
      <c r="E7" s="3" t="s">
        <v>107</v>
      </c>
      <c r="F7" s="3" t="s">
        <v>66</v>
      </c>
      <c r="G7" s="3" t="s">
        <v>66</v>
      </c>
      <c r="H7" s="3" t="s">
        <v>111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3" t="s">
        <v>92</v>
      </c>
      <c r="B8" s="3" t="s">
        <v>110</v>
      </c>
      <c r="C8" s="3" t="s">
        <v>100</v>
      </c>
      <c r="D8" s="3" t="s">
        <v>42</v>
      </c>
      <c r="E8" s="3" t="s">
        <v>107</v>
      </c>
      <c r="F8" s="3" t="s">
        <v>66</v>
      </c>
      <c r="G8" s="3" t="s">
        <v>66</v>
      </c>
      <c r="H8" s="3" t="s">
        <v>113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autoFilter ref="$A$1:$Y$8"/>
  <dataValidations>
    <dataValidation type="custom" allowBlank="1" showDropDown="1" showErrorMessage="1" sqref="E2:E1000">
      <formula1>ISERROR(SEARCH(("999"),(E2)))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0.63"/>
    <col customWidth="1" min="4" max="4" width="20.5"/>
    <col customWidth="1" min="5" max="5" width="24.25"/>
    <col customWidth="1" min="7" max="7" width="15.13"/>
    <col customWidth="1" min="8" max="8" width="19.38"/>
    <col customWidth="1" min="9" max="9" width="28.13"/>
    <col customWidth="1" min="10" max="10" width="30.75"/>
    <col customWidth="1" min="11" max="11" width="20.0"/>
  </cols>
  <sheetData>
    <row r="1">
      <c r="A1" s="1" t="s">
        <v>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53</v>
      </c>
      <c r="B2" s="3" t="s">
        <v>54</v>
      </c>
      <c r="C2" s="3" t="s">
        <v>59</v>
      </c>
      <c r="D2" s="3" t="s">
        <v>55</v>
      </c>
      <c r="E2" s="3" t="s">
        <v>65</v>
      </c>
      <c r="F2" s="3">
        <v>999.0</v>
      </c>
      <c r="G2" s="3" t="s">
        <v>69</v>
      </c>
      <c r="H2" s="3" t="s">
        <v>69</v>
      </c>
      <c r="I2" s="3" t="s">
        <v>70</v>
      </c>
      <c r="J2" s="3" t="s">
        <v>35</v>
      </c>
      <c r="K2" s="3" t="s">
        <v>72</v>
      </c>
      <c r="L2" s="3" t="s">
        <v>77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88</v>
      </c>
      <c r="B3" s="3" t="s">
        <v>89</v>
      </c>
      <c r="C3" s="3" t="s">
        <v>59</v>
      </c>
      <c r="D3" s="3" t="s">
        <v>55</v>
      </c>
      <c r="E3" s="3" t="s">
        <v>65</v>
      </c>
      <c r="F3" s="3">
        <v>999.0</v>
      </c>
      <c r="G3" s="3" t="s">
        <v>69</v>
      </c>
      <c r="H3" s="3" t="s">
        <v>69</v>
      </c>
      <c r="I3" s="3" t="s">
        <v>70</v>
      </c>
      <c r="J3" s="3" t="s">
        <v>92</v>
      </c>
      <c r="K3" s="3" t="s">
        <v>93</v>
      </c>
      <c r="L3" s="3" t="s">
        <v>77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101</v>
      </c>
      <c r="B4" s="3" t="s">
        <v>103</v>
      </c>
      <c r="C4" s="3" t="s">
        <v>103</v>
      </c>
      <c r="D4" s="3" t="s">
        <v>55</v>
      </c>
      <c r="E4" s="3" t="s">
        <v>55</v>
      </c>
      <c r="F4" s="3" t="s">
        <v>55</v>
      </c>
      <c r="G4" s="3" t="s">
        <v>69</v>
      </c>
      <c r="H4" s="3" t="s">
        <v>104</v>
      </c>
      <c r="I4" s="3" t="s">
        <v>55</v>
      </c>
      <c r="J4" s="3" t="s">
        <v>55</v>
      </c>
      <c r="K4" s="3" t="s">
        <v>55</v>
      </c>
      <c r="L4" s="3" t="s">
        <v>106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109</v>
      </c>
      <c r="B5" s="3" t="s">
        <v>103</v>
      </c>
      <c r="C5" s="3" t="s">
        <v>103</v>
      </c>
      <c r="D5" s="3" t="s">
        <v>55</v>
      </c>
      <c r="E5" s="3" t="s">
        <v>55</v>
      </c>
      <c r="F5" s="3" t="s">
        <v>55</v>
      </c>
      <c r="G5" s="3" t="s">
        <v>69</v>
      </c>
      <c r="H5" s="3" t="s">
        <v>104</v>
      </c>
      <c r="I5" s="3" t="s">
        <v>55</v>
      </c>
      <c r="J5" s="3" t="s">
        <v>55</v>
      </c>
      <c r="K5" s="3" t="s">
        <v>55</v>
      </c>
      <c r="L5" s="3" t="s">
        <v>106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112</v>
      </c>
      <c r="B6" s="3" t="s">
        <v>103</v>
      </c>
      <c r="C6" s="3" t="s">
        <v>103</v>
      </c>
      <c r="D6" s="3" t="s">
        <v>55</v>
      </c>
      <c r="E6" s="3" t="s">
        <v>55</v>
      </c>
      <c r="F6" s="3" t="s">
        <v>55</v>
      </c>
      <c r="G6" s="3" t="s">
        <v>69</v>
      </c>
      <c r="H6" s="3" t="s">
        <v>104</v>
      </c>
      <c r="I6" s="3" t="s">
        <v>55</v>
      </c>
      <c r="J6" s="3" t="s">
        <v>55</v>
      </c>
      <c r="K6" s="3" t="s">
        <v>55</v>
      </c>
      <c r="L6" s="3" t="s">
        <v>106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114</v>
      </c>
      <c r="B7" s="3" t="s">
        <v>103</v>
      </c>
      <c r="C7" s="3" t="s">
        <v>103</v>
      </c>
      <c r="D7" s="3" t="s">
        <v>55</v>
      </c>
      <c r="E7" s="3" t="s">
        <v>55</v>
      </c>
      <c r="F7" s="3" t="s">
        <v>55</v>
      </c>
      <c r="G7" s="3" t="s">
        <v>69</v>
      </c>
      <c r="H7" s="3" t="s">
        <v>104</v>
      </c>
      <c r="I7" s="3" t="s">
        <v>55</v>
      </c>
      <c r="J7" s="3" t="s">
        <v>55</v>
      </c>
      <c r="K7" s="3" t="s">
        <v>55</v>
      </c>
      <c r="L7" s="3" t="s">
        <v>106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115</v>
      </c>
      <c r="B8" s="3" t="s">
        <v>116</v>
      </c>
      <c r="C8" s="3" t="s">
        <v>117</v>
      </c>
      <c r="D8" s="3">
        <v>10.0</v>
      </c>
      <c r="E8" s="3" t="s">
        <v>55</v>
      </c>
      <c r="F8" s="3" t="s">
        <v>55</v>
      </c>
      <c r="G8" s="3" t="s">
        <v>104</v>
      </c>
      <c r="H8" s="3" t="s">
        <v>104</v>
      </c>
      <c r="I8" s="3" t="s">
        <v>70</v>
      </c>
      <c r="J8" s="3" t="s">
        <v>118</v>
      </c>
      <c r="K8" s="3" t="s">
        <v>119</v>
      </c>
      <c r="L8" s="3" t="s">
        <v>77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120</v>
      </c>
      <c r="B9" s="3" t="s">
        <v>121</v>
      </c>
      <c r="C9" s="3" t="s">
        <v>117</v>
      </c>
      <c r="D9" s="3">
        <v>10.0</v>
      </c>
      <c r="E9" s="3" t="s">
        <v>55</v>
      </c>
      <c r="F9" s="3" t="s">
        <v>55</v>
      </c>
      <c r="G9" s="3" t="s">
        <v>104</v>
      </c>
      <c r="H9" s="3" t="s">
        <v>104</v>
      </c>
      <c r="I9" s="3" t="s">
        <v>70</v>
      </c>
      <c r="J9" s="3" t="s">
        <v>122</v>
      </c>
      <c r="K9" s="3" t="s">
        <v>119</v>
      </c>
      <c r="L9" s="3" t="s">
        <v>77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Z$9">
    <sortState ref="A1:Z9">
      <sortCondition descending="1" ref="C1:C9"/>
    </sortState>
  </autoFilter>
  <dataValidations>
    <dataValidation type="list" allowBlank="1" showErrorMessage="1" sqref="C2:C1000">
      <formula1>"Acces,Trunk,Shutdown"</formula1>
    </dataValidation>
    <dataValidation type="list" allowBlank="1" showErrorMessage="1" sqref="L2:L1000">
      <formula1>"Down,Up"</formula1>
    </dataValidation>
    <dataValidation type="custom" allowBlank="1" showDropDown="1" showErrorMessage="1" sqref="E2:E1000">
      <formula1>ISERROR(SEARCH(("999"),(E2)))</formula1>
    </dataValidation>
    <dataValidation type="list" allowBlank="1" showErrorMessage="1" sqref="G2:H1000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  <col customWidth="1" min="5" max="5" width="17.25"/>
    <col customWidth="1" min="6" max="6" width="19.38"/>
    <col customWidth="1" min="7" max="7" width="19.13"/>
    <col customWidth="1" min="8" max="8" width="19.38"/>
  </cols>
  <sheetData>
    <row r="1">
      <c r="A1" s="1" t="s">
        <v>3</v>
      </c>
      <c r="B1" s="1" t="s">
        <v>5</v>
      </c>
      <c r="C1" s="1" t="s">
        <v>9</v>
      </c>
      <c r="D1" s="1" t="s">
        <v>8</v>
      </c>
      <c r="E1" s="1" t="s">
        <v>13</v>
      </c>
      <c r="F1" s="1" t="s">
        <v>16</v>
      </c>
      <c r="G1" s="1" t="s">
        <v>19</v>
      </c>
      <c r="H1" s="1" t="s">
        <v>17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10.0</v>
      </c>
      <c r="B2" s="3" t="s">
        <v>36</v>
      </c>
      <c r="C2" s="3" t="s">
        <v>39</v>
      </c>
      <c r="D2" s="3" t="s">
        <v>42</v>
      </c>
      <c r="E2" s="3" t="s">
        <v>44</v>
      </c>
      <c r="F2" s="3" t="s">
        <v>46</v>
      </c>
      <c r="G2" s="3" t="s">
        <v>49</v>
      </c>
      <c r="H2" s="3" t="s">
        <v>51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30.0</v>
      </c>
      <c r="B3" s="3" t="s">
        <v>56</v>
      </c>
      <c r="C3" s="3" t="s">
        <v>57</v>
      </c>
      <c r="D3" s="3" t="s">
        <v>42</v>
      </c>
      <c r="E3" s="3" t="s">
        <v>58</v>
      </c>
      <c r="F3" s="3" t="s">
        <v>61</v>
      </c>
      <c r="G3" s="3" t="s">
        <v>63</v>
      </c>
      <c r="H3" s="3" t="s">
        <v>64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99.0</v>
      </c>
      <c r="B4" s="3" t="s">
        <v>71</v>
      </c>
      <c r="C4" s="3" t="s">
        <v>74</v>
      </c>
      <c r="D4" s="3" t="s">
        <v>42</v>
      </c>
      <c r="E4" s="3" t="s">
        <v>66</v>
      </c>
      <c r="F4" s="3" t="s">
        <v>55</v>
      </c>
      <c r="G4" s="3" t="s">
        <v>76</v>
      </c>
      <c r="H4" s="3" t="s">
        <v>79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999.0</v>
      </c>
      <c r="B5" s="3" t="s">
        <v>86</v>
      </c>
      <c r="C5" s="3" t="s">
        <v>55</v>
      </c>
      <c r="D5" s="3" t="s">
        <v>55</v>
      </c>
      <c r="E5" s="3" t="s">
        <v>55</v>
      </c>
      <c r="F5" s="3" t="s">
        <v>55</v>
      </c>
      <c r="G5" s="3" t="s">
        <v>55</v>
      </c>
      <c r="H5" s="3" t="s">
        <v>90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Z$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5" max="5" width="25.25"/>
  </cols>
  <sheetData>
    <row r="1">
      <c r="A1" s="1" t="s">
        <v>123</v>
      </c>
      <c r="B1" s="1" t="s">
        <v>11</v>
      </c>
      <c r="C1" s="1" t="s">
        <v>124</v>
      </c>
      <c r="D1" s="1" t="s">
        <v>125</v>
      </c>
      <c r="E1" s="1" t="s">
        <v>126</v>
      </c>
      <c r="F1" s="1" t="s">
        <v>127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36</v>
      </c>
      <c r="B2" s="3" t="s">
        <v>128</v>
      </c>
      <c r="C2" s="3" t="s">
        <v>129</v>
      </c>
      <c r="D2" s="3" t="s">
        <v>130</v>
      </c>
      <c r="E2" s="3" t="s">
        <v>69</v>
      </c>
      <c r="F2" s="3" t="s">
        <v>92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3" t="s">
        <v>56</v>
      </c>
      <c r="B3" s="3" t="s">
        <v>131</v>
      </c>
      <c r="C3" s="3">
        <v>2.4</v>
      </c>
      <c r="D3" s="3" t="s">
        <v>130</v>
      </c>
      <c r="E3" s="3" t="s">
        <v>104</v>
      </c>
      <c r="F3" s="3" t="s">
        <v>92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autoFilter ref="$A$1:$Y$3"/>
  <dataValidations>
    <dataValidation type="list" allowBlank="1" showErrorMessage="1" sqref="E2:E1000">
      <formula1>"No,Yes"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88"/>
    <col customWidth="1" min="3" max="3" width="10.38"/>
    <col customWidth="1" min="5" max="5" width="15.13"/>
    <col customWidth="1" min="6" max="6" width="15.88"/>
    <col customWidth="1" min="7" max="8" width="20.13"/>
    <col customWidth="1" min="9" max="9" width="26.75"/>
  </cols>
  <sheetData>
    <row r="1">
      <c r="A1" s="1" t="s">
        <v>4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139</v>
      </c>
      <c r="B2" s="3" t="s">
        <v>140</v>
      </c>
      <c r="C2" s="3">
        <v>21.0</v>
      </c>
      <c r="D2" s="3" t="s">
        <v>141</v>
      </c>
      <c r="E2" s="3" t="s">
        <v>142</v>
      </c>
      <c r="F2" s="3" t="s">
        <v>141</v>
      </c>
      <c r="G2" s="3" t="s">
        <v>141</v>
      </c>
      <c r="H2" s="3" t="s">
        <v>141</v>
      </c>
      <c r="I2" s="3" t="s">
        <v>143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 t="s">
        <v>144</v>
      </c>
      <c r="B3" s="3" t="s">
        <v>140</v>
      </c>
      <c r="C3" s="3">
        <v>31.0</v>
      </c>
      <c r="D3" s="3" t="s">
        <v>145</v>
      </c>
      <c r="E3" s="3" t="s">
        <v>146</v>
      </c>
      <c r="F3" s="3" t="s">
        <v>141</v>
      </c>
      <c r="G3" s="3" t="s">
        <v>147</v>
      </c>
      <c r="H3" s="3">
        <v>53.0</v>
      </c>
      <c r="I3" s="3" t="s">
        <v>148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 t="s">
        <v>144</v>
      </c>
      <c r="B4" s="3" t="s">
        <v>140</v>
      </c>
      <c r="C4" s="3">
        <v>36.0</v>
      </c>
      <c r="D4" s="3" t="s">
        <v>149</v>
      </c>
      <c r="E4" s="3" t="s">
        <v>146</v>
      </c>
      <c r="F4" s="3" t="s">
        <v>141</v>
      </c>
      <c r="G4" s="3" t="s">
        <v>147</v>
      </c>
      <c r="H4" s="3" t="s">
        <v>141</v>
      </c>
      <c r="I4" s="3" t="s">
        <v>150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 t="s">
        <v>144</v>
      </c>
      <c r="B5" s="3" t="s">
        <v>151</v>
      </c>
      <c r="C5" s="3">
        <v>41.0</v>
      </c>
      <c r="D5" s="3" t="s">
        <v>141</v>
      </c>
      <c r="E5" s="3" t="s">
        <v>146</v>
      </c>
      <c r="F5" s="3" t="s">
        <v>141</v>
      </c>
      <c r="G5" s="3" t="s">
        <v>152</v>
      </c>
      <c r="H5" s="3" t="s">
        <v>141</v>
      </c>
      <c r="I5" s="3" t="s">
        <v>153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 t="s">
        <v>144</v>
      </c>
      <c r="B6" s="3" t="s">
        <v>140</v>
      </c>
      <c r="C6" s="3">
        <v>51.0</v>
      </c>
      <c r="D6" s="3" t="s">
        <v>141</v>
      </c>
      <c r="E6" s="3" t="s">
        <v>146</v>
      </c>
      <c r="F6" s="3" t="s">
        <v>141</v>
      </c>
      <c r="G6" s="3" t="s">
        <v>141</v>
      </c>
      <c r="H6" s="3" t="s">
        <v>141</v>
      </c>
      <c r="I6" s="3" t="s">
        <v>154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 t="s">
        <v>155</v>
      </c>
      <c r="B7" s="3" t="s">
        <v>140</v>
      </c>
      <c r="C7" s="3">
        <v>56.0</v>
      </c>
      <c r="D7" s="3" t="s">
        <v>145</v>
      </c>
      <c r="E7" s="3" t="s">
        <v>156</v>
      </c>
      <c r="F7" s="3" t="s">
        <v>141</v>
      </c>
      <c r="G7" s="3" t="s">
        <v>157</v>
      </c>
      <c r="H7" s="3">
        <v>53.0</v>
      </c>
      <c r="I7" s="3" t="s">
        <v>158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" t="s">
        <v>155</v>
      </c>
      <c r="B8" s="3" t="s">
        <v>140</v>
      </c>
      <c r="C8" s="3">
        <v>106.0</v>
      </c>
      <c r="D8" s="3" t="s">
        <v>159</v>
      </c>
      <c r="E8" s="3" t="s">
        <v>100</v>
      </c>
      <c r="F8" s="3" t="s">
        <v>141</v>
      </c>
      <c r="G8" s="3" t="s">
        <v>142</v>
      </c>
      <c r="H8" s="3" t="s">
        <v>141</v>
      </c>
      <c r="I8" s="3" t="s">
        <v>160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" t="s">
        <v>155</v>
      </c>
      <c r="B9" s="3" t="s">
        <v>151</v>
      </c>
      <c r="C9" s="3">
        <v>156.0</v>
      </c>
      <c r="D9" s="3" t="s">
        <v>141</v>
      </c>
      <c r="E9" s="3" t="s">
        <v>156</v>
      </c>
      <c r="F9" s="3" t="s">
        <v>141</v>
      </c>
      <c r="G9" s="3" t="s">
        <v>152</v>
      </c>
      <c r="H9" s="3" t="s">
        <v>141</v>
      </c>
      <c r="I9" s="3" t="s">
        <v>161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" t="s">
        <v>155</v>
      </c>
      <c r="B10" s="3" t="s">
        <v>140</v>
      </c>
      <c r="C10" s="3">
        <v>206.0</v>
      </c>
      <c r="D10" s="3" t="s">
        <v>141</v>
      </c>
      <c r="E10" s="3" t="s">
        <v>156</v>
      </c>
      <c r="F10" s="3" t="s">
        <v>141</v>
      </c>
      <c r="G10" s="3" t="s">
        <v>141</v>
      </c>
      <c r="H10" s="3" t="s">
        <v>141</v>
      </c>
      <c r="I10" s="3" t="s">
        <v>162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autoFilter ref="$A$1:$AA$10"/>
  <dataValidations>
    <dataValidation type="list" allowBlank="1" showErrorMessage="1" sqref="B2:B1001">
      <formula1>"BLOCK,PASS,REJECT"</formula1>
    </dataValidation>
  </dataValidations>
  <drawing r:id="rId1"/>
</worksheet>
</file>